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OneDrive\Documents\A transferer\Nutri\"/>
    </mc:Choice>
  </mc:AlternateContent>
  <xr:revisionPtr revIDLastSave="0" documentId="13_ncr:1_{1C8ACB42-89D6-41B2-9B4C-BCC712B88086}" xr6:coauthVersionLast="47" xr6:coauthVersionMax="47" xr10:uidLastSave="{00000000-0000-0000-0000-000000000000}"/>
  <bookViews>
    <workbookView xWindow="-110" yWindow="-110" windowWidth="19420" windowHeight="10300" activeTab="3" xr2:uid="{9DF677CB-CDE3-4AF1-8B1E-695B0A3AAC34}"/>
  </bookViews>
  <sheets>
    <sheet name="Base" sheetId="1" r:id="rId1"/>
    <sheet name="Besoin" sheetId="2" r:id="rId2"/>
    <sheet name="Menu" sheetId="3" r:id="rId3"/>
    <sheet name="Feuil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D8" i="4"/>
  <c r="E8" i="4"/>
  <c r="B8" i="4"/>
  <c r="C7" i="4"/>
  <c r="D7" i="4"/>
  <c r="E7" i="4"/>
  <c r="B7" i="4"/>
  <c r="C6" i="4"/>
  <c r="D6" i="4"/>
  <c r="E6" i="4"/>
  <c r="B6" i="4"/>
  <c r="C5" i="4"/>
  <c r="D5" i="4"/>
  <c r="E5" i="4"/>
  <c r="B5" i="4"/>
  <c r="E3" i="4"/>
  <c r="D3" i="4"/>
  <c r="C3" i="4"/>
  <c r="B3" i="4"/>
  <c r="E2" i="4"/>
  <c r="D2" i="4"/>
  <c r="C2" i="4"/>
  <c r="B2" i="4"/>
  <c r="E1" i="4"/>
  <c r="D1" i="4"/>
  <c r="C1" i="4"/>
  <c r="B1" i="4"/>
  <c r="I3" i="3"/>
  <c r="I4" i="3"/>
  <c r="I5" i="3"/>
  <c r="I6" i="3"/>
  <c r="I7" i="3"/>
  <c r="I8" i="3"/>
  <c r="I2" i="3"/>
  <c r="H3" i="3"/>
  <c r="H9" i="3" s="1"/>
  <c r="H4" i="3"/>
  <c r="H5" i="3"/>
  <c r="H6" i="3"/>
  <c r="H7" i="3"/>
  <c r="H8" i="3"/>
  <c r="H2" i="3"/>
  <c r="G3" i="3"/>
  <c r="G4" i="3"/>
  <c r="G5" i="3"/>
  <c r="G6" i="3"/>
  <c r="G7" i="3"/>
  <c r="G8" i="3"/>
  <c r="G2" i="3"/>
  <c r="F3" i="3"/>
  <c r="F4" i="3"/>
  <c r="F5" i="3"/>
  <c r="F6" i="3"/>
  <c r="F7" i="3"/>
  <c r="F8" i="3"/>
  <c r="F2" i="3"/>
  <c r="F9" i="3" s="1"/>
  <c r="I9" i="3" l="1"/>
  <c r="G9" i="3"/>
  <c r="F2" i="2"/>
  <c r="J2" i="2"/>
  <c r="G2" i="2"/>
  <c r="M2" i="2"/>
  <c r="P2" i="2" s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H49" i="1"/>
  <c r="G49" i="1"/>
  <c r="J48" i="1"/>
  <c r="I48" i="1"/>
  <c r="H48" i="1"/>
  <c r="G48" i="1"/>
  <c r="J44" i="1"/>
  <c r="H44" i="1"/>
  <c r="G44" i="1"/>
  <c r="J43" i="1"/>
  <c r="H43" i="1"/>
  <c r="G43" i="1"/>
  <c r="J42" i="1"/>
  <c r="H42" i="1"/>
  <c r="G42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17" i="1"/>
  <c r="H17" i="1"/>
  <c r="G17" i="1"/>
  <c r="J16" i="1"/>
  <c r="I16" i="1"/>
  <c r="H16" i="1"/>
  <c r="G16" i="1"/>
  <c r="J15" i="1"/>
  <c r="J14" i="1"/>
  <c r="J13" i="1"/>
  <c r="J12" i="1"/>
  <c r="J11" i="1"/>
  <c r="J10" i="1"/>
  <c r="J5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5" i="1"/>
  <c r="H5" i="1"/>
  <c r="G5" i="1"/>
  <c r="H2" i="2" l="1"/>
  <c r="I2" i="2" s="1"/>
  <c r="K2" i="2" s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8" i="1"/>
  <c r="E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E11" i="1"/>
  <c r="D11" i="1"/>
  <c r="C11" i="1"/>
  <c r="B11" i="1"/>
  <c r="F10" i="1"/>
  <c r="E10" i="1"/>
  <c r="D10" i="1"/>
  <c r="C10" i="1"/>
  <c r="B10" i="1"/>
  <c r="F8" i="1"/>
  <c r="E8" i="1"/>
  <c r="D8" i="1"/>
  <c r="C8" i="1"/>
  <c r="B8" i="1"/>
  <c r="F7" i="1"/>
  <c r="E7" i="1"/>
  <c r="D7" i="1"/>
  <c r="C7" i="1"/>
  <c r="B7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E2" i="1"/>
  <c r="D2" i="1"/>
  <c r="C2" i="1"/>
  <c r="B2" i="1"/>
  <c r="R2" i="2" l="1"/>
  <c r="N2" i="2" s="1"/>
  <c r="Q2" i="2"/>
  <c r="O2" i="2" s="1"/>
</calcChain>
</file>

<file path=xl/sharedStrings.xml><?xml version="1.0" encoding="utf-8"?>
<sst xmlns="http://schemas.openxmlformats.org/spreadsheetml/2006/main" count="108" uniqueCount="104">
  <si>
    <t>t.prot</t>
  </si>
  <si>
    <t>t.glu</t>
  </si>
  <si>
    <t>t.lip</t>
  </si>
  <si>
    <t>nom</t>
  </si>
  <si>
    <t>type</t>
  </si>
  <si>
    <t>saison</t>
  </si>
  <si>
    <t>Poulet</t>
  </si>
  <si>
    <t>Steak</t>
  </si>
  <si>
    <t>Thon</t>
  </si>
  <si>
    <t>Œufs (1u)</t>
  </si>
  <si>
    <t>Feta</t>
  </si>
  <si>
    <t>Lentilles</t>
  </si>
  <si>
    <t>Lardon</t>
  </si>
  <si>
    <t>Jambon</t>
  </si>
  <si>
    <t>Pois chiche</t>
  </si>
  <si>
    <t>Tranche de poulet</t>
  </si>
  <si>
    <t>Cordon bleu</t>
  </si>
  <si>
    <t>Croquette de colin</t>
  </si>
  <si>
    <t>Filet de colin</t>
  </si>
  <si>
    <t>Poisson</t>
  </si>
  <si>
    <t>Banane (1u)</t>
  </si>
  <si>
    <t>Clémentine (1u)</t>
  </si>
  <si>
    <t>Pomme</t>
  </si>
  <si>
    <t>Fromage blanc</t>
  </si>
  <si>
    <t>Amandier</t>
  </si>
  <si>
    <t>Kinder délice</t>
  </si>
  <si>
    <t>Petit écolier</t>
  </si>
  <si>
    <t>Cookies Granola</t>
  </si>
  <si>
    <t>Miel</t>
  </si>
  <si>
    <t>Beurre de cacahuète</t>
  </si>
  <si>
    <t>Yaourt perle de lait</t>
  </si>
  <si>
    <t>Yaourt la laitière</t>
  </si>
  <si>
    <t>Pain de mie (u)</t>
  </si>
  <si>
    <t>Compote Andros</t>
  </si>
  <si>
    <t>Pâtes completes</t>
  </si>
  <si>
    <t>Riz basmati (cru)</t>
  </si>
  <si>
    <t>Pomme de terre</t>
  </si>
  <si>
    <t>Pain complet</t>
  </si>
  <si>
    <t>Boulgour</t>
  </si>
  <si>
    <t>Quinoa</t>
  </si>
  <si>
    <t>Haricot vert</t>
  </si>
  <si>
    <t>Sauce tomate</t>
  </si>
  <si>
    <t>Crème frâche</t>
  </si>
  <si>
    <t>Lait de coco</t>
  </si>
  <si>
    <t>Ratatouille</t>
  </si>
  <si>
    <t>Flageolets</t>
  </si>
  <si>
    <t>Tomate (1u)</t>
  </si>
  <si>
    <t>Comcombre (1/2u)</t>
  </si>
  <si>
    <t>Oignon (1u)</t>
  </si>
  <si>
    <t xml:space="preserve">Courgette </t>
  </si>
  <si>
    <t>Pois chiches</t>
  </si>
  <si>
    <t>Poivron</t>
  </si>
  <si>
    <t>Chocolat 85% (1 carré)</t>
  </si>
  <si>
    <t>Concentré de tomate</t>
  </si>
  <si>
    <t>Fromage pâte préssée</t>
  </si>
  <si>
    <t>Parmesan</t>
  </si>
  <si>
    <t>Avocat</t>
  </si>
  <si>
    <t>t.zinc (mg/g)</t>
  </si>
  <si>
    <t>t.mg (mg/g)</t>
  </si>
  <si>
    <t>t.vitd (mg/g)</t>
  </si>
  <si>
    <t>t.vitc (mg/g)</t>
  </si>
  <si>
    <t>t.fer (mg/g)</t>
  </si>
  <si>
    <t>t.kcal</t>
  </si>
  <si>
    <t xml:space="preserve">Modèle </t>
  </si>
  <si>
    <t>Formule</t>
  </si>
  <si>
    <t>Densité.e glucide (kcal/g)</t>
  </si>
  <si>
    <t>Densité.e lipide (kcal/g)</t>
  </si>
  <si>
    <t>Densité.e protéine (kcal/g)</t>
  </si>
  <si>
    <t>Masse totale (kg)</t>
  </si>
  <si>
    <t>Masse grasse (kg)</t>
  </si>
  <si>
    <t>Masse maigre (kg)</t>
  </si>
  <si>
    <t>BMR (kcal)</t>
  </si>
  <si>
    <t>Facteur activité</t>
  </si>
  <si>
    <t>TDEE (kcal)</t>
  </si>
  <si>
    <t>Modèle répartition des macros</t>
  </si>
  <si>
    <t>Masse protéine (g)</t>
  </si>
  <si>
    <t>Masse lipides (g)</t>
  </si>
  <si>
    <t>Masse glucides (g)</t>
  </si>
  <si>
    <t>kcal protéine</t>
  </si>
  <si>
    <t>kcal lipides</t>
  </si>
  <si>
    <t>kcal glucides</t>
  </si>
  <si>
    <t>Katch-McArdle</t>
  </si>
  <si>
    <t>BMR=370+(21,6×massemaigreenkg)</t>
  </si>
  <si>
    <t>2 g/kg de protéine (20%)
50% glucides
30% lipides</t>
  </si>
  <si>
    <t>Nom</t>
  </si>
  <si>
    <t>m.prot</t>
  </si>
  <si>
    <t>m.glu</t>
  </si>
  <si>
    <t>m.lip</t>
  </si>
  <si>
    <t>kcal</t>
  </si>
  <si>
    <t>M1</t>
  </si>
  <si>
    <t>M2</t>
  </si>
  <si>
    <t>M3</t>
  </si>
  <si>
    <t>M4</t>
  </si>
  <si>
    <t>M5</t>
  </si>
  <si>
    <t>M6</t>
  </si>
  <si>
    <t>M7</t>
  </si>
  <si>
    <t>diff.prot</t>
  </si>
  <si>
    <t>diff.glu</t>
  </si>
  <si>
    <t>diff.lip</t>
  </si>
  <si>
    <t>diff.kcal</t>
  </si>
  <si>
    <t>1 yaourt</t>
  </si>
  <si>
    <t>2 pain de mie</t>
  </si>
  <si>
    <t>25g beurre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</si>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</sst>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6388-A7D9-4B3E-89C4-7A29C935A474}">
  <dimension ref="A1:L53"/>
  <sheetViews>
    <sheetView topLeftCell="A14" zoomScale="103" workbookViewId="0">
      <selection activeCell="A25" sqref="A25:XFD25"/>
    </sheetView>
  </sheetViews>
  <sheetFormatPr baseColWidth="10" defaultRowHeight="14.5" x14ac:dyDescent="0.35"/>
  <cols>
    <col min="1" max="1" width="22.81640625" style="1" customWidth="1"/>
    <col min="2" max="2" width="11.26953125" style="1" bestFit="1" customWidth="1"/>
    <col min="3" max="16384" width="10.90625" style="1"/>
  </cols>
  <sheetData>
    <row r="1" spans="1:12" s="3" customFormat="1" ht="36" customHeight="1" x14ac:dyDescent="0.35">
      <c r="A1" s="3" t="s">
        <v>3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0</v>
      </c>
      <c r="H1" s="3" t="s">
        <v>1</v>
      </c>
      <c r="I1" s="3" t="s">
        <v>2</v>
      </c>
      <c r="J1" s="3" t="s">
        <v>62</v>
      </c>
      <c r="K1" s="3" t="s">
        <v>4</v>
      </c>
      <c r="L1" s="3" t="s">
        <v>5</v>
      </c>
    </row>
    <row r="2" spans="1:12" x14ac:dyDescent="0.35">
      <c r="A2" s="1" t="s">
        <v>6</v>
      </c>
      <c r="B2" s="1">
        <f>0.72</f>
        <v>0.72</v>
      </c>
      <c r="C2" s="1">
        <f>37</f>
        <v>37</v>
      </c>
      <c r="D2" s="1">
        <f>0</f>
        <v>0</v>
      </c>
      <c r="E2" s="1">
        <f>1.43</f>
        <v>1.43</v>
      </c>
      <c r="F2" s="1">
        <v>0.39</v>
      </c>
      <c r="G2" s="2">
        <v>26</v>
      </c>
      <c r="H2" s="2">
        <v>0</v>
      </c>
      <c r="I2" s="2">
        <v>2</v>
      </c>
      <c r="J2" s="2">
        <v>140</v>
      </c>
    </row>
    <row r="3" spans="1:12" x14ac:dyDescent="0.35">
      <c r="A3" s="1" t="s">
        <v>7</v>
      </c>
      <c r="B3" s="1">
        <f>5.05</f>
        <v>5.05</v>
      </c>
      <c r="C3" s="1">
        <f>28.6</f>
        <v>28.6</v>
      </c>
      <c r="D3" s="1">
        <f>0</f>
        <v>0</v>
      </c>
      <c r="E3" s="1">
        <f>0</f>
        <v>0</v>
      </c>
      <c r="F3" s="1">
        <f>2.62</f>
        <v>2.62</v>
      </c>
      <c r="G3" s="2">
        <v>28</v>
      </c>
      <c r="H3" s="2">
        <v>0</v>
      </c>
      <c r="I3" s="2">
        <v>5</v>
      </c>
      <c r="J3" s="2">
        <v>157</v>
      </c>
    </row>
    <row r="4" spans="1:12" x14ac:dyDescent="0.35">
      <c r="A4" s="1" t="s">
        <v>8</v>
      </c>
      <c r="B4" s="1">
        <f>0.44</f>
        <v>0.44</v>
      </c>
      <c r="C4" s="1">
        <f>46</f>
        <v>46</v>
      </c>
      <c r="D4" s="1">
        <f>1.83</f>
        <v>1.83</v>
      </c>
      <c r="E4" s="1">
        <f>0</f>
        <v>0</v>
      </c>
      <c r="F4" s="1">
        <f>1.8</f>
        <v>1.8</v>
      </c>
      <c r="G4" s="2">
        <v>26</v>
      </c>
      <c r="H4" s="2">
        <v>0</v>
      </c>
      <c r="I4" s="2">
        <v>2</v>
      </c>
      <c r="J4" s="2">
        <v>177</v>
      </c>
    </row>
    <row r="5" spans="1:12" x14ac:dyDescent="0.35">
      <c r="A5" s="1" t="s">
        <v>9</v>
      </c>
      <c r="B5" s="1">
        <f>1.1</f>
        <v>1.1000000000000001</v>
      </c>
      <c r="C5" s="1">
        <f>10.8</f>
        <v>10.8</v>
      </c>
      <c r="D5" s="1">
        <f>2</f>
        <v>2</v>
      </c>
      <c r="E5" s="1">
        <f>0</f>
        <v>0</v>
      </c>
      <c r="F5" s="1">
        <f>1.75</f>
        <v>1.75</v>
      </c>
      <c r="G5" s="2">
        <f>0.6*11</f>
        <v>6.6</v>
      </c>
      <c r="H5" s="2">
        <f>0.6*2</f>
        <v>1.2</v>
      </c>
      <c r="I5" s="2">
        <f>0.6*10</f>
        <v>6</v>
      </c>
      <c r="J5" s="2">
        <f>0.6*148</f>
        <v>88.8</v>
      </c>
    </row>
    <row r="6" spans="1:12" x14ac:dyDescent="0.35">
      <c r="A6" s="1" t="s">
        <v>10</v>
      </c>
      <c r="G6" s="2">
        <v>14</v>
      </c>
      <c r="H6" s="2">
        <v>4</v>
      </c>
      <c r="I6" s="2">
        <v>21</v>
      </c>
      <c r="J6" s="2">
        <v>264</v>
      </c>
    </row>
    <row r="7" spans="1:12" x14ac:dyDescent="0.35">
      <c r="A7" s="1" t="s">
        <v>11</v>
      </c>
      <c r="B7" s="1">
        <f>1.1</f>
        <v>1.1000000000000001</v>
      </c>
      <c r="C7" s="1">
        <f>31</f>
        <v>31</v>
      </c>
      <c r="D7" s="1">
        <f>0</f>
        <v>0</v>
      </c>
      <c r="E7" s="1">
        <f>0</f>
        <v>0</v>
      </c>
      <c r="F7" s="1">
        <f>2.5</f>
        <v>2.5</v>
      </c>
      <c r="G7" s="2">
        <v>8</v>
      </c>
      <c r="H7" s="2">
        <v>13</v>
      </c>
      <c r="I7" s="2">
        <v>0</v>
      </c>
      <c r="J7" s="2">
        <v>90</v>
      </c>
    </row>
    <row r="8" spans="1:12" x14ac:dyDescent="0.35">
      <c r="A8" s="1" t="s">
        <v>12</v>
      </c>
      <c r="B8" s="1">
        <f>2.1</f>
        <v>2.1</v>
      </c>
      <c r="C8" s="1">
        <f>22</f>
        <v>22</v>
      </c>
      <c r="D8" s="1">
        <f>0</f>
        <v>0</v>
      </c>
      <c r="E8" s="1">
        <f>0</f>
        <v>0</v>
      </c>
      <c r="F8" s="1">
        <f>0.5</f>
        <v>0.5</v>
      </c>
      <c r="G8" s="2">
        <v>24</v>
      </c>
      <c r="H8" s="2">
        <v>2</v>
      </c>
      <c r="I8" s="2">
        <v>26</v>
      </c>
      <c r="J8" s="2">
        <v>338</v>
      </c>
    </row>
    <row r="9" spans="1:12" x14ac:dyDescent="0.35">
      <c r="A9" s="1" t="s">
        <v>13</v>
      </c>
      <c r="G9" s="2">
        <v>18</v>
      </c>
      <c r="H9" s="2">
        <v>0</v>
      </c>
      <c r="I9" s="2">
        <v>6</v>
      </c>
      <c r="J9" s="2">
        <v>134</v>
      </c>
    </row>
    <row r="10" spans="1:12" x14ac:dyDescent="0.35">
      <c r="A10" s="1" t="s">
        <v>14</v>
      </c>
      <c r="B10" s="1">
        <f>1.1</f>
        <v>1.1000000000000001</v>
      </c>
      <c r="C10" s="1">
        <f>44</f>
        <v>44</v>
      </c>
      <c r="D10" s="1">
        <f>0</f>
        <v>0</v>
      </c>
      <c r="E10" s="1">
        <f>0</f>
        <v>0</v>
      </c>
      <c r="F10" s="1">
        <f>1.3</f>
        <v>1.3</v>
      </c>
      <c r="G10" s="2">
        <f>7</f>
        <v>7</v>
      </c>
      <c r="H10" s="2">
        <f>15</f>
        <v>15</v>
      </c>
      <c r="I10" s="2">
        <f>3</f>
        <v>3</v>
      </c>
      <c r="J10" s="2">
        <f>118</f>
        <v>118</v>
      </c>
    </row>
    <row r="11" spans="1:12" x14ac:dyDescent="0.35">
      <c r="A11" s="1" t="s">
        <v>15</v>
      </c>
      <c r="B11" s="1">
        <f>0.72</f>
        <v>0.72</v>
      </c>
      <c r="C11" s="1">
        <f>37</f>
        <v>37</v>
      </c>
      <c r="D11" s="1">
        <f>0</f>
        <v>0</v>
      </c>
      <c r="E11" s="1">
        <f>1.43</f>
        <v>1.43</v>
      </c>
      <c r="F11" s="1">
        <v>0.39</v>
      </c>
      <c r="G11" s="2">
        <f>25</f>
        <v>25</v>
      </c>
      <c r="H11" s="2">
        <f>1</f>
        <v>1</v>
      </c>
      <c r="I11" s="2">
        <f>2</f>
        <v>2</v>
      </c>
      <c r="J11" s="2">
        <f>105</f>
        <v>105</v>
      </c>
    </row>
    <row r="12" spans="1:12" x14ac:dyDescent="0.35">
      <c r="A12" s="1" t="s">
        <v>16</v>
      </c>
      <c r="B12" s="1">
        <f>1.16</f>
        <v>1.1599999999999999</v>
      </c>
      <c r="C12" s="1">
        <f>37.6</f>
        <v>37.6</v>
      </c>
      <c r="D12" s="1">
        <f>0</f>
        <v>0</v>
      </c>
      <c r="E12" s="1">
        <f>0</f>
        <v>0</v>
      </c>
      <c r="F12" s="1">
        <f>0.68</f>
        <v>0.68</v>
      </c>
      <c r="G12" s="2">
        <f>14</f>
        <v>14</v>
      </c>
      <c r="H12" s="2">
        <f>15</f>
        <v>15</v>
      </c>
      <c r="I12" s="2">
        <f>12</f>
        <v>12</v>
      </c>
      <c r="J12" s="2">
        <f>220</f>
        <v>220</v>
      </c>
    </row>
    <row r="13" spans="1:12" x14ac:dyDescent="0.35">
      <c r="A13" s="1" t="s">
        <v>17</v>
      </c>
      <c r="B13" s="1">
        <f>0.46</f>
        <v>0.46</v>
      </c>
      <c r="C13" s="1">
        <f>34.8</f>
        <v>34.799999999999997</v>
      </c>
      <c r="D13" s="1">
        <f>0.73</f>
        <v>0.73</v>
      </c>
      <c r="E13" s="1">
        <f>1.09</f>
        <v>1.0900000000000001</v>
      </c>
      <c r="F13" s="1">
        <f>0.2</f>
        <v>0.2</v>
      </c>
      <c r="G13" s="2">
        <f>12</f>
        <v>12</v>
      </c>
      <c r="H13" s="2">
        <f>13</f>
        <v>13</v>
      </c>
      <c r="I13" s="2">
        <f>7</f>
        <v>7</v>
      </c>
      <c r="J13" s="2">
        <f>166</f>
        <v>166</v>
      </c>
    </row>
    <row r="14" spans="1:12" x14ac:dyDescent="0.35">
      <c r="A14" s="1" t="s">
        <v>18</v>
      </c>
      <c r="B14" s="1">
        <f>0.46</f>
        <v>0.46</v>
      </c>
      <c r="C14" s="1">
        <f>34.8</f>
        <v>34.799999999999997</v>
      </c>
      <c r="D14" s="1">
        <f>0.73</f>
        <v>0.73</v>
      </c>
      <c r="E14" s="1">
        <f>1.09</f>
        <v>1.0900000000000001</v>
      </c>
      <c r="F14" s="1">
        <f>0.2</f>
        <v>0.2</v>
      </c>
      <c r="G14" s="2">
        <f>16</f>
        <v>16</v>
      </c>
      <c r="H14" s="2">
        <f>0</f>
        <v>0</v>
      </c>
      <c r="I14" s="2">
        <f>1</f>
        <v>1</v>
      </c>
      <c r="J14" s="2">
        <f>73</f>
        <v>73</v>
      </c>
    </row>
    <row r="15" spans="1:12" x14ac:dyDescent="0.35">
      <c r="A15" s="1" t="s">
        <v>19</v>
      </c>
      <c r="B15" s="1">
        <f>0.61</f>
        <v>0.61</v>
      </c>
      <c r="C15" s="1">
        <f>30</f>
        <v>30</v>
      </c>
      <c r="D15" s="1">
        <f>3.69</f>
        <v>3.69</v>
      </c>
      <c r="E15" s="1">
        <f>0.96</f>
        <v>0.96</v>
      </c>
      <c r="F15" s="1">
        <f>0.69</f>
        <v>0.69</v>
      </c>
      <c r="G15" s="2">
        <f>22</f>
        <v>22</v>
      </c>
      <c r="H15" s="2">
        <f>0</f>
        <v>0</v>
      </c>
      <c r="I15" s="2">
        <f>2</f>
        <v>2</v>
      </c>
      <c r="J15" s="2">
        <f>100</f>
        <v>100</v>
      </c>
    </row>
    <row r="16" spans="1:12" x14ac:dyDescent="0.35">
      <c r="A16" s="1" t="s">
        <v>20</v>
      </c>
      <c r="B16" s="1">
        <f>0.14</f>
        <v>0.14000000000000001</v>
      </c>
      <c r="C16" s="1">
        <f>28</f>
        <v>28</v>
      </c>
      <c r="D16" s="1">
        <f>0</f>
        <v>0</v>
      </c>
      <c r="E16" s="1">
        <f>7.16</f>
        <v>7.16</v>
      </c>
      <c r="F16" s="1">
        <f>0.2</f>
        <v>0.2</v>
      </c>
      <c r="G16" s="1">
        <f>1.2*1.5</f>
        <v>1.7999999999999998</v>
      </c>
      <c r="H16" s="1">
        <f>1.2*32</f>
        <v>38.4</v>
      </c>
      <c r="I16" s="1">
        <f>1.2*1</f>
        <v>1.2</v>
      </c>
      <c r="J16" s="1">
        <f>1.2*136</f>
        <v>163.19999999999999</v>
      </c>
    </row>
    <row r="17" spans="1:10" x14ac:dyDescent="0.35">
      <c r="A17" s="1" t="s">
        <v>21</v>
      </c>
      <c r="B17" s="1">
        <f>0.1</f>
        <v>0.1</v>
      </c>
      <c r="C17" s="1">
        <f>0</f>
        <v>0</v>
      </c>
      <c r="D17" s="1">
        <f>0</f>
        <v>0</v>
      </c>
      <c r="E17" s="1">
        <f>49.2</f>
        <v>49.2</v>
      </c>
      <c r="F17" s="1">
        <f>0.09</f>
        <v>0.09</v>
      </c>
      <c r="G17" s="1">
        <f>0.5*1</f>
        <v>0.5</v>
      </c>
      <c r="H17" s="1">
        <f>0.5*10</f>
        <v>5</v>
      </c>
      <c r="I17" s="1">
        <v>0</v>
      </c>
      <c r="J17" s="1">
        <f>0.5*45</f>
        <v>22.5</v>
      </c>
    </row>
    <row r="18" spans="1:10" x14ac:dyDescent="0.35">
      <c r="A18" s="1" t="s">
        <v>22</v>
      </c>
      <c r="B18" s="1">
        <f>0</f>
        <v>0</v>
      </c>
      <c r="C18" s="1">
        <f>3</f>
        <v>3</v>
      </c>
      <c r="D18" s="1">
        <f>0</f>
        <v>0</v>
      </c>
      <c r="E18" s="1">
        <f>2.13</f>
        <v>2.13</v>
      </c>
      <c r="F18" s="1">
        <f>0.07</f>
        <v>7.0000000000000007E-2</v>
      </c>
      <c r="G18" s="1">
        <v>0</v>
      </c>
      <c r="H18" s="1">
        <v>17</v>
      </c>
      <c r="I18" s="1">
        <v>0</v>
      </c>
      <c r="J18" s="1">
        <v>73</v>
      </c>
    </row>
    <row r="19" spans="1:10" x14ac:dyDescent="0.35">
      <c r="A19" s="1" t="s">
        <v>23</v>
      </c>
      <c r="G19" s="1">
        <v>7</v>
      </c>
      <c r="H19" s="1">
        <v>8</v>
      </c>
      <c r="I19" s="1">
        <v>0</v>
      </c>
      <c r="J19" s="1">
        <v>62</v>
      </c>
    </row>
    <row r="20" spans="1:10" x14ac:dyDescent="0.35">
      <c r="A20" s="1" t="s">
        <v>24</v>
      </c>
      <c r="G20" s="1">
        <v>5</v>
      </c>
      <c r="H20" s="1">
        <v>45</v>
      </c>
      <c r="I20" s="1">
        <v>24</v>
      </c>
      <c r="J20" s="1">
        <v>421</v>
      </c>
    </row>
    <row r="21" spans="1:10" x14ac:dyDescent="0.35">
      <c r="A21" s="1" t="s">
        <v>25</v>
      </c>
      <c r="G21" s="1">
        <v>5</v>
      </c>
      <c r="H21" s="1">
        <v>45</v>
      </c>
      <c r="I21" s="1">
        <v>30</v>
      </c>
      <c r="J21" s="1">
        <v>474</v>
      </c>
    </row>
    <row r="22" spans="1:10" x14ac:dyDescent="0.35">
      <c r="A22" s="1" t="s">
        <v>26</v>
      </c>
      <c r="G22" s="1">
        <v>7</v>
      </c>
      <c r="H22" s="1">
        <v>65</v>
      </c>
      <c r="I22" s="1">
        <v>24</v>
      </c>
      <c r="J22" s="1">
        <v>500</v>
      </c>
    </row>
    <row r="23" spans="1:10" x14ac:dyDescent="0.35">
      <c r="A23" s="1" t="s">
        <v>27</v>
      </c>
      <c r="G23" s="1">
        <v>6</v>
      </c>
      <c r="H23" s="1">
        <v>64</v>
      </c>
      <c r="I23" s="1">
        <v>23</v>
      </c>
      <c r="J23" s="1">
        <v>495</v>
      </c>
    </row>
    <row r="24" spans="1:10" x14ac:dyDescent="0.35">
      <c r="A24" s="1" t="s">
        <v>28</v>
      </c>
      <c r="G24" s="1">
        <f>0</f>
        <v>0</v>
      </c>
      <c r="H24" s="1">
        <f>85</f>
        <v>85</v>
      </c>
      <c r="I24" s="1">
        <f>0</f>
        <v>0</v>
      </c>
      <c r="J24" s="1">
        <f>330</f>
        <v>330</v>
      </c>
    </row>
    <row r="25" spans="1:10" x14ac:dyDescent="0.35">
      <c r="A25" s="1" t="s">
        <v>29</v>
      </c>
      <c r="B25" s="1">
        <f>2.76</f>
        <v>2.76</v>
      </c>
      <c r="C25" s="1">
        <f>174</f>
        <v>174</v>
      </c>
      <c r="D25" s="1">
        <f>0</f>
        <v>0</v>
      </c>
      <c r="E25" s="1">
        <f>0</f>
        <v>0</v>
      </c>
      <c r="F25" s="1">
        <f>1.92</f>
        <v>1.92</v>
      </c>
      <c r="G25" s="1">
        <f>25</f>
        <v>25</v>
      </c>
      <c r="H25" s="1">
        <f>16</f>
        <v>16</v>
      </c>
      <c r="I25" s="1">
        <f>52</f>
        <v>52</v>
      </c>
      <c r="J25" s="1">
        <f>640</f>
        <v>640</v>
      </c>
    </row>
    <row r="26" spans="1:10" x14ac:dyDescent="0.35">
      <c r="A26" s="1" t="s">
        <v>30</v>
      </c>
      <c r="B26" s="1">
        <f>0.38</f>
        <v>0.38</v>
      </c>
      <c r="C26" s="1">
        <f>11.5</f>
        <v>11.5</v>
      </c>
      <c r="D26" s="1">
        <f>0.48</f>
        <v>0.48</v>
      </c>
      <c r="E26" s="1">
        <f>0.28</f>
        <v>0.28000000000000003</v>
      </c>
      <c r="F26" s="1">
        <f>0.16</f>
        <v>0.16</v>
      </c>
      <c r="G26" s="1">
        <f>3</f>
        <v>3</v>
      </c>
      <c r="H26" s="1">
        <f>13</f>
        <v>13</v>
      </c>
      <c r="I26" s="1">
        <f>7</f>
        <v>7</v>
      </c>
      <c r="J26" s="1">
        <f>130</f>
        <v>130</v>
      </c>
    </row>
    <row r="27" spans="1:10" x14ac:dyDescent="0.35">
      <c r="A27" s="1" t="s">
        <v>31</v>
      </c>
      <c r="B27" s="1">
        <f>0.38</f>
        <v>0.38</v>
      </c>
      <c r="C27" s="1">
        <f>11.5</f>
        <v>11.5</v>
      </c>
      <c r="D27" s="1">
        <f>0.48</f>
        <v>0.48</v>
      </c>
      <c r="E27" s="1">
        <f>0.28</f>
        <v>0.28000000000000003</v>
      </c>
      <c r="F27" s="1">
        <f>0.16</f>
        <v>0.16</v>
      </c>
      <c r="G27" s="1">
        <f>3</f>
        <v>3</v>
      </c>
      <c r="H27" s="1">
        <f>13</f>
        <v>13</v>
      </c>
      <c r="I27" s="1">
        <f>3</f>
        <v>3</v>
      </c>
      <c r="J27" s="1">
        <f>91</f>
        <v>91</v>
      </c>
    </row>
    <row r="28" spans="1:10" x14ac:dyDescent="0.35">
      <c r="A28" s="1" t="s">
        <v>32</v>
      </c>
      <c r="B28" s="1">
        <f>0.49</f>
        <v>0.49</v>
      </c>
      <c r="C28" s="1">
        <f>20</f>
        <v>20</v>
      </c>
      <c r="E28" s="1">
        <f>0</f>
        <v>0</v>
      </c>
      <c r="F28" s="1">
        <f>0.74</f>
        <v>0.74</v>
      </c>
      <c r="G28" s="1">
        <f>7/4</f>
        <v>1.75</v>
      </c>
      <c r="H28" s="1">
        <f>48/4</f>
        <v>12</v>
      </c>
      <c r="I28" s="1">
        <f>3/4</f>
        <v>0.75</v>
      </c>
      <c r="J28" s="1">
        <f>250/4</f>
        <v>62.5</v>
      </c>
    </row>
    <row r="29" spans="1:10" x14ac:dyDescent="0.35">
      <c r="A29" s="1" t="s">
        <v>33</v>
      </c>
      <c r="G29" s="1">
        <v>0</v>
      </c>
      <c r="H29" s="1">
        <v>16</v>
      </c>
      <c r="I29" s="1">
        <v>0</v>
      </c>
      <c r="J29" s="1">
        <v>70</v>
      </c>
    </row>
    <row r="30" spans="1:10" x14ac:dyDescent="0.35">
      <c r="A30" s="1" t="s">
        <v>34</v>
      </c>
      <c r="B30" s="1">
        <f>0.99</f>
        <v>0.99</v>
      </c>
      <c r="C30" s="1">
        <f>36</f>
        <v>36</v>
      </c>
      <c r="D30" s="1">
        <f>0</f>
        <v>0</v>
      </c>
      <c r="E30" s="1">
        <f>0</f>
        <v>0</v>
      </c>
      <c r="F30" s="1">
        <f>0.98</f>
        <v>0.98</v>
      </c>
      <c r="G30" s="1">
        <v>12</v>
      </c>
      <c r="H30" s="1">
        <v>67</v>
      </c>
      <c r="I30" s="1">
        <v>2</v>
      </c>
      <c r="J30" s="1">
        <v>345</v>
      </c>
    </row>
    <row r="31" spans="1:10" x14ac:dyDescent="0.35">
      <c r="A31" s="1" t="s">
        <v>35</v>
      </c>
      <c r="B31" s="1">
        <f>0.62</f>
        <v>0.62</v>
      </c>
      <c r="C31" s="1">
        <f>49</f>
        <v>49</v>
      </c>
      <c r="D31" s="1">
        <f>0</f>
        <v>0</v>
      </c>
      <c r="E31" s="1">
        <f>0</f>
        <v>0</v>
      </c>
      <c r="F31" s="1">
        <f>0.32</f>
        <v>0.32</v>
      </c>
      <c r="G31" s="1">
        <v>8</v>
      </c>
      <c r="H31" s="1">
        <v>78</v>
      </c>
      <c r="I31" s="1">
        <v>0</v>
      </c>
      <c r="J31" s="1">
        <v>348</v>
      </c>
    </row>
    <row r="32" spans="1:10" x14ac:dyDescent="0.35">
      <c r="A32" s="1" t="s">
        <v>36</v>
      </c>
      <c r="B32" s="1">
        <f>0.24</f>
        <v>0.24</v>
      </c>
      <c r="C32" s="1">
        <f>21.7</f>
        <v>21.7</v>
      </c>
      <c r="D32" s="1">
        <f>0</f>
        <v>0</v>
      </c>
      <c r="E32" s="1">
        <f>12.8</f>
        <v>12.8</v>
      </c>
      <c r="F32" s="1">
        <f>0.35</f>
        <v>0.35</v>
      </c>
      <c r="G32" s="1">
        <v>2</v>
      </c>
      <c r="H32" s="1">
        <v>18</v>
      </c>
      <c r="I32" s="1">
        <v>0</v>
      </c>
      <c r="J32" s="1">
        <v>85</v>
      </c>
    </row>
    <row r="33" spans="1:10" x14ac:dyDescent="0.35">
      <c r="A33" s="1" t="s">
        <v>37</v>
      </c>
      <c r="G33" s="1">
        <v>9</v>
      </c>
      <c r="H33" s="1">
        <v>51</v>
      </c>
      <c r="I33" s="1">
        <v>2</v>
      </c>
      <c r="J33" s="1">
        <v>269</v>
      </c>
    </row>
    <row r="34" spans="1:10" x14ac:dyDescent="0.35">
      <c r="A34" s="1" t="s">
        <v>38</v>
      </c>
      <c r="G34" s="1">
        <v>12</v>
      </c>
      <c r="H34" s="1">
        <v>76</v>
      </c>
      <c r="I34" s="1">
        <v>1</v>
      </c>
      <c r="J34" s="1">
        <v>342</v>
      </c>
    </row>
    <row r="35" spans="1:10" x14ac:dyDescent="0.35">
      <c r="A35" s="1" t="s">
        <v>39</v>
      </c>
      <c r="G35" s="1">
        <v>5</v>
      </c>
      <c r="H35" s="1">
        <v>29</v>
      </c>
      <c r="I35" s="1">
        <v>3</v>
      </c>
      <c r="J35" s="1">
        <v>160</v>
      </c>
    </row>
    <row r="36" spans="1:10" x14ac:dyDescent="0.35">
      <c r="A36" s="1" t="s">
        <v>40</v>
      </c>
      <c r="G36" s="1">
        <v>2</v>
      </c>
      <c r="H36" s="1">
        <v>4</v>
      </c>
      <c r="I36" s="1">
        <v>0</v>
      </c>
      <c r="J36" s="1">
        <v>24</v>
      </c>
    </row>
    <row r="37" spans="1:10" x14ac:dyDescent="0.35">
      <c r="A37" s="1" t="s">
        <v>41</v>
      </c>
      <c r="G37" s="1">
        <v>1</v>
      </c>
      <c r="H37" s="1">
        <v>6</v>
      </c>
      <c r="I37" s="1">
        <v>3</v>
      </c>
      <c r="J37" s="1">
        <v>60</v>
      </c>
    </row>
    <row r="38" spans="1:10" x14ac:dyDescent="0.35">
      <c r="A38" s="1" t="s">
        <v>42</v>
      </c>
      <c r="G38" s="1">
        <v>3</v>
      </c>
      <c r="H38" s="1">
        <v>4</v>
      </c>
      <c r="I38" s="1">
        <v>30</v>
      </c>
      <c r="J38" s="1">
        <v>300</v>
      </c>
    </row>
    <row r="39" spans="1:10" x14ac:dyDescent="0.35">
      <c r="A39" s="1" t="s">
        <v>43</v>
      </c>
      <c r="G39" s="1">
        <v>2</v>
      </c>
      <c r="H39" s="1">
        <v>3</v>
      </c>
      <c r="I39" s="1">
        <v>21</v>
      </c>
      <c r="J39" s="1">
        <v>210</v>
      </c>
    </row>
    <row r="40" spans="1:10" x14ac:dyDescent="0.35">
      <c r="A40" s="1" t="s">
        <v>44</v>
      </c>
      <c r="G40" s="1">
        <v>2</v>
      </c>
      <c r="H40" s="1">
        <v>8</v>
      </c>
      <c r="I40" s="1">
        <v>4</v>
      </c>
      <c r="J40" s="1">
        <v>76</v>
      </c>
    </row>
    <row r="41" spans="1:10" x14ac:dyDescent="0.35">
      <c r="A41" s="1" t="s">
        <v>45</v>
      </c>
      <c r="G41" s="1">
        <v>4</v>
      </c>
      <c r="H41" s="1">
        <v>17</v>
      </c>
      <c r="I41" s="1">
        <v>1</v>
      </c>
      <c r="J41" s="1">
        <v>84</v>
      </c>
    </row>
    <row r="42" spans="1:10" x14ac:dyDescent="0.35">
      <c r="A42" s="1" t="s">
        <v>46</v>
      </c>
      <c r="G42" s="1">
        <f>1.8*1</f>
        <v>1.8</v>
      </c>
      <c r="H42" s="1">
        <f>1.8*5</f>
        <v>9</v>
      </c>
      <c r="I42" s="1">
        <v>0</v>
      </c>
      <c r="J42" s="1">
        <f>1.8*21</f>
        <v>37.800000000000004</v>
      </c>
    </row>
    <row r="43" spans="1:10" x14ac:dyDescent="0.35">
      <c r="A43" s="1" t="s">
        <v>47</v>
      </c>
      <c r="G43" s="1">
        <f>0.5</f>
        <v>0.5</v>
      </c>
      <c r="H43" s="1">
        <f>2/2</f>
        <v>1</v>
      </c>
      <c r="I43" s="1">
        <v>0</v>
      </c>
      <c r="J43" s="1">
        <f>10/2</f>
        <v>5</v>
      </c>
    </row>
    <row r="44" spans="1:10" x14ac:dyDescent="0.35">
      <c r="A44" s="1" t="s">
        <v>48</v>
      </c>
      <c r="B44" s="1">
        <f>0.21</f>
        <v>0.21</v>
      </c>
      <c r="C44" s="1">
        <f>9.3</f>
        <v>9.3000000000000007</v>
      </c>
      <c r="D44" s="1">
        <f>0</f>
        <v>0</v>
      </c>
      <c r="E44" s="1">
        <f>2.31</f>
        <v>2.31</v>
      </c>
      <c r="F44" s="1">
        <f>0.24</f>
        <v>0.24</v>
      </c>
      <c r="G44" s="1">
        <f>1*1.5</f>
        <v>1.5</v>
      </c>
      <c r="H44" s="1">
        <f>1.5*7</f>
        <v>10.5</v>
      </c>
      <c r="I44" s="1">
        <v>0</v>
      </c>
      <c r="J44" s="1">
        <f>1.5*43</f>
        <v>64.5</v>
      </c>
    </row>
    <row r="45" spans="1:10" x14ac:dyDescent="0.35">
      <c r="A45" s="1" t="s">
        <v>49</v>
      </c>
      <c r="B45" s="1">
        <f>0.22</f>
        <v>0.22</v>
      </c>
      <c r="C45" s="1">
        <f>22.3</f>
        <v>22.3</v>
      </c>
      <c r="D45" s="1">
        <f>0</f>
        <v>0</v>
      </c>
      <c r="E45" s="1">
        <f>2.9</f>
        <v>2.9</v>
      </c>
      <c r="F45" s="1">
        <f>0.32</f>
        <v>0.32</v>
      </c>
      <c r="G45" s="2">
        <v>1</v>
      </c>
      <c r="H45" s="1">
        <v>3</v>
      </c>
      <c r="I45" s="1">
        <v>0</v>
      </c>
      <c r="J45" s="1">
        <v>20</v>
      </c>
    </row>
    <row r="46" spans="1:10" x14ac:dyDescent="0.35">
      <c r="A46" s="1" t="s">
        <v>50</v>
      </c>
      <c r="B46" s="1">
        <f>1.1</f>
        <v>1.1000000000000001</v>
      </c>
      <c r="C46" s="1">
        <f>44</f>
        <v>44</v>
      </c>
      <c r="D46" s="1">
        <f>0</f>
        <v>0</v>
      </c>
      <c r="E46" s="1">
        <f>0</f>
        <v>0</v>
      </c>
      <c r="F46" s="1">
        <f>1.3</f>
        <v>1.3</v>
      </c>
      <c r="G46" s="1">
        <v>6</v>
      </c>
      <c r="H46" s="1">
        <v>15</v>
      </c>
      <c r="I46" s="1">
        <v>2</v>
      </c>
      <c r="J46" s="1">
        <v>120</v>
      </c>
    </row>
    <row r="47" spans="1:10" x14ac:dyDescent="0.35">
      <c r="A47" s="1" t="s">
        <v>51</v>
      </c>
      <c r="B47" s="1">
        <f>0.14</f>
        <v>0.14000000000000001</v>
      </c>
      <c r="C47" s="1">
        <f>11</f>
        <v>11</v>
      </c>
      <c r="D47" s="1">
        <f>0</f>
        <v>0</v>
      </c>
      <c r="E47" s="1">
        <f>126</f>
        <v>126</v>
      </c>
      <c r="F47" s="1">
        <f>0.23</f>
        <v>0.23</v>
      </c>
      <c r="G47" s="1">
        <v>1</v>
      </c>
      <c r="H47" s="1">
        <v>5</v>
      </c>
      <c r="I47" s="1">
        <v>0</v>
      </c>
      <c r="J47" s="1">
        <v>20</v>
      </c>
    </row>
    <row r="48" spans="1:10" x14ac:dyDescent="0.35">
      <c r="A48" s="1" t="s">
        <v>52</v>
      </c>
      <c r="B48" s="1">
        <f>3</f>
        <v>3</v>
      </c>
      <c r="C48" s="1">
        <f>200</f>
        <v>200</v>
      </c>
      <c r="D48" s="1">
        <f>2.16</f>
        <v>2.16</v>
      </c>
      <c r="E48" s="1">
        <f>0</f>
        <v>0</v>
      </c>
      <c r="F48" s="1">
        <f>11</f>
        <v>11</v>
      </c>
      <c r="G48" s="2">
        <f>8.9/10</f>
        <v>0.89</v>
      </c>
      <c r="H48" s="2">
        <f>19/10</f>
        <v>1.9</v>
      </c>
      <c r="I48" s="2">
        <f>55/10</f>
        <v>5.5</v>
      </c>
      <c r="J48" s="2">
        <f>603/10</f>
        <v>60.3</v>
      </c>
    </row>
    <row r="49" spans="1:10" x14ac:dyDescent="0.35">
      <c r="A49" s="1" t="s">
        <v>53</v>
      </c>
      <c r="G49" s="1">
        <f>2</f>
        <v>2</v>
      </c>
      <c r="H49" s="1">
        <f>13</f>
        <v>13</v>
      </c>
      <c r="I49" s="1">
        <v>0</v>
      </c>
      <c r="J49" s="1">
        <f>78</f>
        <v>78</v>
      </c>
    </row>
    <row r="50" spans="1:10" x14ac:dyDescent="0.35">
      <c r="A50" s="1" t="s">
        <v>10</v>
      </c>
      <c r="G50" s="1">
        <f>16</f>
        <v>16</v>
      </c>
      <c r="H50" s="1">
        <f>0</f>
        <v>0</v>
      </c>
      <c r="I50" s="1">
        <f>23</f>
        <v>23</v>
      </c>
      <c r="J50" s="1">
        <f>270</f>
        <v>270</v>
      </c>
    </row>
    <row r="51" spans="1:10" x14ac:dyDescent="0.35">
      <c r="A51" s="1" t="s">
        <v>54</v>
      </c>
      <c r="G51" s="1">
        <f>27</f>
        <v>27</v>
      </c>
      <c r="H51" s="1">
        <f>0</f>
        <v>0</v>
      </c>
      <c r="I51" s="1">
        <f>31</f>
        <v>31</v>
      </c>
      <c r="J51" s="1">
        <f>390</f>
        <v>390</v>
      </c>
    </row>
    <row r="52" spans="1:10" x14ac:dyDescent="0.35">
      <c r="A52" s="1" t="s">
        <v>55</v>
      </c>
      <c r="G52" s="1">
        <f>30</f>
        <v>30</v>
      </c>
      <c r="H52" s="1">
        <f>0</f>
        <v>0</v>
      </c>
      <c r="I52" s="1">
        <f>30</f>
        <v>30</v>
      </c>
      <c r="J52" s="1">
        <f>406</f>
        <v>406</v>
      </c>
    </row>
    <row r="53" spans="1:10" x14ac:dyDescent="0.35">
      <c r="A53" s="1" t="s">
        <v>56</v>
      </c>
      <c r="G53" s="1">
        <f>2</f>
        <v>2</v>
      </c>
      <c r="H53" s="1">
        <f>0</f>
        <v>0</v>
      </c>
      <c r="I53" s="1">
        <f>20</f>
        <v>20</v>
      </c>
      <c r="J53" s="1">
        <f>205</f>
        <v>205</v>
      </c>
    </row>
  </sheetData>
  <pageMargins left="0.7" right="0.7" top="0.75" bottom="0.75" header="0.3" footer="0.3"/>
  <ignoredErrors>
    <ignoredError sqref="C18 F15 E11 E47 H11 H52 H24 H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259-1B99-46F1-A25F-D40450D0F165}">
  <dimension ref="A1:R2"/>
  <sheetViews>
    <sheetView topLeftCell="H1" workbookViewId="0">
      <selection activeCell="Q11" sqref="Q10:Q11"/>
    </sheetView>
  </sheetViews>
  <sheetFormatPr baseColWidth="10" defaultRowHeight="14.5" x14ac:dyDescent="0.35"/>
  <cols>
    <col min="1" max="1" width="13" style="1" bestFit="1" customWidth="1"/>
    <col min="2" max="2" width="36.7265625" style="1" customWidth="1"/>
    <col min="3" max="3" width="21.7265625" style="1" bestFit="1" customWidth="1"/>
    <col min="4" max="4" width="20.36328125" style="1" bestFit="1" customWidth="1"/>
    <col min="5" max="5" width="23" style="1" bestFit="1" customWidth="1"/>
    <col min="6" max="6" width="15" style="1" bestFit="1" customWidth="1"/>
    <col min="7" max="7" width="15.453125" style="1" bestFit="1" customWidth="1"/>
    <col min="8" max="8" width="30.6328125" style="1" customWidth="1"/>
    <col min="9" max="9" width="10.90625" style="1"/>
    <col min="10" max="10" width="13.36328125" style="1" bestFit="1" customWidth="1"/>
    <col min="11" max="11" width="10.90625" style="1"/>
    <col min="12" max="12" width="28.7265625" style="1" customWidth="1"/>
    <col min="13" max="13" width="16.453125" style="1" bestFit="1" customWidth="1"/>
    <col min="14" max="14" width="15.7265625" style="1" bestFit="1" customWidth="1"/>
    <col min="15" max="15" width="14.26953125" style="1" bestFit="1" customWidth="1"/>
    <col min="16" max="16" width="12.6328125" style="1" customWidth="1"/>
    <col min="17" max="17" width="11.90625" style="1" customWidth="1"/>
    <col min="18" max="18" width="12.90625" style="1" customWidth="1"/>
    <col min="19" max="16384" width="10.90625" style="1"/>
  </cols>
  <sheetData>
    <row r="1" spans="1:18" x14ac:dyDescent="0.3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4" t="s">
        <v>73</v>
      </c>
      <c r="L1" s="1" t="s">
        <v>74</v>
      </c>
      <c r="M1" s="4" t="s">
        <v>75</v>
      </c>
      <c r="N1" s="4" t="s">
        <v>77</v>
      </c>
      <c r="O1" s="4" t="s">
        <v>76</v>
      </c>
      <c r="P1" s="1" t="s">
        <v>78</v>
      </c>
      <c r="Q1" s="1" t="s">
        <v>79</v>
      </c>
      <c r="R1" s="1" t="s">
        <v>80</v>
      </c>
    </row>
    <row r="2" spans="1:18" ht="43.5" x14ac:dyDescent="0.35">
      <c r="A2" s="1" t="s">
        <v>81</v>
      </c>
      <c r="B2" s="1" t="s">
        <v>82</v>
      </c>
      <c r="C2" s="1">
        <v>4</v>
      </c>
      <c r="D2" s="1">
        <v>9</v>
      </c>
      <c r="E2" s="1">
        <v>4</v>
      </c>
      <c r="F2" s="1">
        <f>73</f>
        <v>73</v>
      </c>
      <c r="G2" s="1">
        <f>4.5</f>
        <v>4.5</v>
      </c>
      <c r="H2" s="1">
        <f>F2-G2</f>
        <v>68.5</v>
      </c>
      <c r="I2" s="2">
        <f>370+(21.6*H2)</f>
        <v>1849.6000000000001</v>
      </c>
      <c r="J2" s="1">
        <f>1.55</f>
        <v>1.55</v>
      </c>
      <c r="K2" s="5">
        <f>I2*J2</f>
        <v>2866.88</v>
      </c>
      <c r="L2" s="6" t="s">
        <v>83</v>
      </c>
      <c r="M2" s="4">
        <f>2*F2</f>
        <v>146</v>
      </c>
      <c r="N2" s="5">
        <f>R2/C2</f>
        <v>358.36</v>
      </c>
      <c r="O2" s="5">
        <f>Q2/D2</f>
        <v>95.562666666666658</v>
      </c>
      <c r="P2" s="1">
        <f>M2*E2</f>
        <v>584</v>
      </c>
      <c r="Q2" s="2">
        <f>0.3*K2</f>
        <v>860.06399999999996</v>
      </c>
      <c r="R2" s="2">
        <f>0.5*K2</f>
        <v>1433.44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CC59-680B-48C0-85F1-E29227CB9FE0}">
  <dimension ref="A1:I10"/>
  <sheetViews>
    <sheetView zoomScale="115" zoomScaleNormal="115" workbookViewId="0">
      <selection activeCell="F12" sqref="F12"/>
    </sheetView>
  </sheetViews>
  <sheetFormatPr baseColWidth="10" defaultRowHeight="14.5" x14ac:dyDescent="0.35"/>
  <cols>
    <col min="1" max="16384" width="10.90625" style="1"/>
  </cols>
  <sheetData>
    <row r="1" spans="1:9" x14ac:dyDescent="0.3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96</v>
      </c>
      <c r="G1" s="1" t="s">
        <v>97</v>
      </c>
      <c r="H1" s="1" t="s">
        <v>98</v>
      </c>
      <c r="I1" s="1" t="s">
        <v>99</v>
      </c>
    </row>
    <row r="2" spans="1:9" x14ac:dyDescent="0.35">
      <c r="A2" s="1" t="s">
        <v>89</v>
      </c>
      <c r="B2" s="2">
        <v>129.56</v>
      </c>
      <c r="C2" s="2">
        <v>350.88</v>
      </c>
      <c r="D2" s="2">
        <v>54.94</v>
      </c>
      <c r="E2" s="2">
        <v>2513.29</v>
      </c>
      <c r="F2" s="2">
        <f>Besoin!$M$2-B2</f>
        <v>16.439999999999998</v>
      </c>
      <c r="G2" s="2">
        <f>Besoin!$N$2-C2</f>
        <v>7.4800000000000182</v>
      </c>
      <c r="H2" s="2">
        <f>Besoin!$O$2-Menu!D2</f>
        <v>40.62266666666666</v>
      </c>
      <c r="I2" s="2">
        <f>Besoin!$K$2-Menu!E2</f>
        <v>353.59000000000015</v>
      </c>
    </row>
    <row r="3" spans="1:9" x14ac:dyDescent="0.35">
      <c r="A3" s="1" t="s">
        <v>90</v>
      </c>
      <c r="B3" s="2">
        <v>124.65999999999998</v>
      </c>
      <c r="C3" s="2">
        <v>375.55999999999995</v>
      </c>
      <c r="D3" s="2">
        <v>70.63</v>
      </c>
      <c r="E3" s="2">
        <v>2503.29</v>
      </c>
      <c r="F3" s="2">
        <f>Besoin!$M$2-B3</f>
        <v>21.340000000000018</v>
      </c>
      <c r="G3" s="2">
        <f>Besoin!$N$2-C3</f>
        <v>-17.199999999999932</v>
      </c>
      <c r="H3" s="2">
        <f>Besoin!$O$2-Menu!D3</f>
        <v>24.932666666666663</v>
      </c>
      <c r="I3" s="2">
        <f>Besoin!$K$2-Menu!E3</f>
        <v>363.59000000000015</v>
      </c>
    </row>
    <row r="4" spans="1:9" x14ac:dyDescent="0.35">
      <c r="A4" s="1" t="s">
        <v>91</v>
      </c>
      <c r="B4" s="2">
        <v>113.06</v>
      </c>
      <c r="C4" s="2">
        <v>354.78</v>
      </c>
      <c r="D4" s="2">
        <v>77.739999999999995</v>
      </c>
      <c r="E4" s="2">
        <v>2622.04</v>
      </c>
      <c r="F4" s="2">
        <f>Besoin!$M$2-B4</f>
        <v>32.94</v>
      </c>
      <c r="G4" s="2">
        <f>Besoin!$N$2-C4</f>
        <v>3.5800000000000409</v>
      </c>
      <c r="H4" s="2">
        <f>Besoin!$O$2-Menu!D4</f>
        <v>17.822666666666663</v>
      </c>
      <c r="I4" s="2">
        <f>Besoin!$K$2-Menu!E4</f>
        <v>244.84000000000015</v>
      </c>
    </row>
    <row r="5" spans="1:9" x14ac:dyDescent="0.35">
      <c r="A5" s="1" t="s">
        <v>92</v>
      </c>
      <c r="B5" s="2">
        <v>124.56</v>
      </c>
      <c r="C5" s="2">
        <v>301.58</v>
      </c>
      <c r="D5" s="2">
        <v>73.539999999999992</v>
      </c>
      <c r="E5" s="2">
        <v>2511.84</v>
      </c>
      <c r="F5" s="2">
        <f>Besoin!$M$2-B5</f>
        <v>21.439999999999998</v>
      </c>
      <c r="G5" s="2">
        <f>Besoin!$N$2-C5</f>
        <v>56.78000000000003</v>
      </c>
      <c r="H5" s="2">
        <f>Besoin!$O$2-Menu!D5</f>
        <v>22.022666666666666</v>
      </c>
      <c r="I5" s="2">
        <f>Besoin!$K$2-Menu!E5</f>
        <v>355.03999999999996</v>
      </c>
    </row>
    <row r="6" spans="1:9" x14ac:dyDescent="0.35">
      <c r="A6" s="1" t="s">
        <v>93</v>
      </c>
      <c r="B6" s="2">
        <v>126.63999999999999</v>
      </c>
      <c r="C6" s="2">
        <v>307.13</v>
      </c>
      <c r="D6" s="2">
        <v>75.94</v>
      </c>
      <c r="E6" s="2">
        <v>2505.0899999999997</v>
      </c>
      <c r="F6" s="2">
        <f>Besoin!$M$2-B6</f>
        <v>19.360000000000014</v>
      </c>
      <c r="G6" s="2">
        <f>Besoin!$N$2-C6</f>
        <v>51.230000000000018</v>
      </c>
      <c r="H6" s="2">
        <f>Besoin!$O$2-Menu!D6</f>
        <v>19.62266666666666</v>
      </c>
      <c r="I6" s="2">
        <f>Besoin!$K$2-Menu!E6</f>
        <v>361.79000000000042</v>
      </c>
    </row>
    <row r="7" spans="1:9" x14ac:dyDescent="0.35">
      <c r="A7" s="1" t="s">
        <v>94</v>
      </c>
      <c r="B7" s="2">
        <v>128.35999999999999</v>
      </c>
      <c r="C7" s="2">
        <v>293.97999999999996</v>
      </c>
      <c r="D7" s="2">
        <v>78.739999999999995</v>
      </c>
      <c r="E7" s="2">
        <v>2475.4899999999998</v>
      </c>
      <c r="F7" s="2">
        <f>Besoin!$M$2-B7</f>
        <v>17.640000000000015</v>
      </c>
      <c r="G7" s="2">
        <f>Besoin!$N$2-C7</f>
        <v>64.380000000000052</v>
      </c>
      <c r="H7" s="2">
        <f>Besoin!$O$2-Menu!D7</f>
        <v>16.822666666666663</v>
      </c>
      <c r="I7" s="2">
        <f>Besoin!$K$2-Menu!E7</f>
        <v>391.39000000000033</v>
      </c>
    </row>
    <row r="8" spans="1:9" x14ac:dyDescent="0.35">
      <c r="A8" s="1" t="s">
        <v>95</v>
      </c>
      <c r="B8" s="2">
        <v>131.30000000000001</v>
      </c>
      <c r="C8" s="2">
        <v>304.02999999999997</v>
      </c>
      <c r="D8" s="2">
        <v>76.39</v>
      </c>
      <c r="E8" s="2">
        <v>2554.54</v>
      </c>
      <c r="F8" s="2">
        <f>Besoin!$M$2-B8</f>
        <v>14.699999999999989</v>
      </c>
      <c r="G8" s="2">
        <f>Besoin!$N$2-C8</f>
        <v>54.330000000000041</v>
      </c>
      <c r="H8" s="2">
        <f>Besoin!$O$2-Menu!D8</f>
        <v>19.172666666666657</v>
      </c>
      <c r="I8" s="2">
        <f>Besoin!$K$2-Menu!E8</f>
        <v>312.34000000000015</v>
      </c>
    </row>
    <row r="9" spans="1:9" x14ac:dyDescent="0.35">
      <c r="F9" s="2">
        <f>AVERAGE(F2:F8)</f>
        <v>20.551428571428573</v>
      </c>
      <c r="G9" s="2">
        <f t="shared" ref="G9:H9" si="0">AVERAGE(G2:G8)</f>
        <v>31.51142857142861</v>
      </c>
      <c r="H9" s="2">
        <f t="shared" si="0"/>
        <v>23.002666666666663</v>
      </c>
      <c r="I9" s="2">
        <f>AVERAGE(I2:I8)</f>
        <v>340.36857142857161</v>
      </c>
    </row>
    <row r="10" spans="1:9" x14ac:dyDescent="0.35">
      <c r="F10" s="2">
        <v>13.5</v>
      </c>
      <c r="G10" s="2">
        <v>44.25</v>
      </c>
      <c r="H10" s="2">
        <v>23.25</v>
      </c>
      <c r="I10" s="2">
        <v>447.5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0939-3AAC-4BF4-BE90-18F814E1D930}">
  <dimension ref="A1:E8"/>
  <sheetViews>
    <sheetView tabSelected="1" workbookViewId="0">
      <selection activeCell="B17" sqref="B17"/>
    </sheetView>
  </sheetViews>
  <sheetFormatPr baseColWidth="10" defaultRowHeight="14.5" x14ac:dyDescent="0.35"/>
  <cols>
    <col min="1" max="1" width="30.54296875" style="7" customWidth="1"/>
    <col min="2" max="16384" width="10.90625" style="7"/>
  </cols>
  <sheetData>
    <row r="1" spans="1:5" s="1" customFormat="1" x14ac:dyDescent="0.35">
      <c r="A1" s="1" t="s">
        <v>30</v>
      </c>
      <c r="B1" s="1">
        <f>3</f>
        <v>3</v>
      </c>
      <c r="C1" s="1">
        <f>13</f>
        <v>13</v>
      </c>
      <c r="D1" s="1">
        <f>7</f>
        <v>7</v>
      </c>
      <c r="E1" s="1">
        <f>130</f>
        <v>130</v>
      </c>
    </row>
    <row r="2" spans="1:5" s="1" customFormat="1" x14ac:dyDescent="0.35">
      <c r="A2" s="1" t="s">
        <v>32</v>
      </c>
      <c r="B2" s="1">
        <f>7/4</f>
        <v>1.75</v>
      </c>
      <c r="C2" s="1">
        <f>48/4</f>
        <v>12</v>
      </c>
      <c r="D2" s="1">
        <f>3/4</f>
        <v>0.75</v>
      </c>
      <c r="E2" s="1">
        <f>250/4</f>
        <v>62.5</v>
      </c>
    </row>
    <row r="3" spans="1:5" s="1" customFormat="1" x14ac:dyDescent="0.35">
      <c r="A3" s="1" t="s">
        <v>29</v>
      </c>
      <c r="B3" s="1">
        <f>25</f>
        <v>25</v>
      </c>
      <c r="C3" s="1">
        <f>16</f>
        <v>16</v>
      </c>
      <c r="D3" s="1">
        <f>52</f>
        <v>52</v>
      </c>
      <c r="E3" s="1">
        <f>640</f>
        <v>640</v>
      </c>
    </row>
    <row r="5" spans="1:5" x14ac:dyDescent="0.35">
      <c r="A5" s="1" t="s">
        <v>100</v>
      </c>
      <c r="B5" s="7">
        <f>1.25*B1</f>
        <v>3.75</v>
      </c>
      <c r="C5" s="7">
        <f t="shared" ref="C5:E5" si="0">1.25*C1</f>
        <v>16.25</v>
      </c>
      <c r="D5" s="7">
        <f t="shared" si="0"/>
        <v>8.75</v>
      </c>
      <c r="E5" s="7">
        <f t="shared" si="0"/>
        <v>162.5</v>
      </c>
    </row>
    <row r="6" spans="1:5" x14ac:dyDescent="0.35">
      <c r="A6" s="7" t="s">
        <v>101</v>
      </c>
      <c r="B6" s="7">
        <f>2*B2</f>
        <v>3.5</v>
      </c>
      <c r="C6" s="7">
        <f t="shared" ref="C6:E6" si="1">2*C2</f>
        <v>24</v>
      </c>
      <c r="D6" s="7">
        <f t="shared" si="1"/>
        <v>1.5</v>
      </c>
      <c r="E6" s="7">
        <f t="shared" si="1"/>
        <v>125</v>
      </c>
    </row>
    <row r="7" spans="1:5" x14ac:dyDescent="0.35">
      <c r="A7" s="7" t="s">
        <v>102</v>
      </c>
      <c r="B7" s="7">
        <f>0.25*B3</f>
        <v>6.25</v>
      </c>
      <c r="C7" s="7">
        <f t="shared" ref="C7:E7" si="2">0.25*C3</f>
        <v>4</v>
      </c>
      <c r="D7" s="7">
        <f t="shared" si="2"/>
        <v>13</v>
      </c>
      <c r="E7" s="7">
        <f t="shared" si="2"/>
        <v>160</v>
      </c>
    </row>
    <row r="8" spans="1:5" x14ac:dyDescent="0.35">
      <c r="A8" s="7" t="s">
        <v>103</v>
      </c>
      <c r="B8" s="8">
        <f>SUM(B5:B7)</f>
        <v>13.5</v>
      </c>
      <c r="C8" s="8">
        <f t="shared" ref="C8:E8" si="3">SUM(C5:C7)</f>
        <v>44.25</v>
      </c>
      <c r="D8" s="8">
        <f t="shared" si="3"/>
        <v>23.25</v>
      </c>
      <c r="E8" s="8">
        <f t="shared" si="3"/>
        <v>447.5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</vt:lpstr>
      <vt:lpstr>Besoin</vt:lpstr>
      <vt:lpstr>Menu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 Bessila</dc:creator>
  <cp:lastModifiedBy>Sofiane Bessila</cp:lastModifiedBy>
  <dcterms:created xsi:type="dcterms:W3CDTF">2025-03-10T19:38:59Z</dcterms:created>
  <dcterms:modified xsi:type="dcterms:W3CDTF">2025-03-18T17:25:41Z</dcterms:modified>
</cp:coreProperties>
</file>